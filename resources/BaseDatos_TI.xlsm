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iqnet.github.io\resources\"/>
    </mc:Choice>
  </mc:AlternateContent>
  <xr:revisionPtr revIDLastSave="0" documentId="13_ncr:1_{36D0F38D-9F65-4318-B751-C6D661BB4915}" xr6:coauthVersionLast="47" xr6:coauthVersionMax="47" xr10:uidLastSave="{00000000-0000-0000-0000-000000000000}"/>
  <bookViews>
    <workbookView xWindow="-120" yWindow="-120" windowWidth="20730" windowHeight="11040" activeTab="1" xr2:uid="{F96DEEA2-A6F3-415A-B335-F7A8573B9D2E}"/>
  </bookViews>
  <sheets>
    <sheet name="Registro de Pacientes" sheetId="1" r:id="rId1"/>
    <sheet name="Consulta de Pacientes" sheetId="2" r:id="rId2"/>
  </sheets>
  <definedNames>
    <definedName name="RegistroP">Registro[]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2" l="1"/>
  <c r="F7" i="2"/>
  <c r="C11" i="2"/>
  <c r="C10" i="2"/>
</calcChain>
</file>

<file path=xl/sharedStrings.xml><?xml version="1.0" encoding="utf-8"?>
<sst xmlns="http://schemas.openxmlformats.org/spreadsheetml/2006/main" count="33" uniqueCount="30">
  <si>
    <t>N° de Paciente</t>
  </si>
  <si>
    <t>Apellido Paterno</t>
  </si>
  <si>
    <t>Apellido Materno</t>
  </si>
  <si>
    <t>Nombres</t>
  </si>
  <si>
    <t>Correo electrónico</t>
  </si>
  <si>
    <t>Teléfono</t>
  </si>
  <si>
    <t>Fehca de registro</t>
  </si>
  <si>
    <t>Castañeda</t>
  </si>
  <si>
    <t>Rodríguez</t>
  </si>
  <si>
    <t>Diego Emilio</t>
  </si>
  <si>
    <t>2123200403@soy.utj.edu.mx</t>
  </si>
  <si>
    <t>20/07/2023</t>
  </si>
  <si>
    <t>Lopes</t>
  </si>
  <si>
    <t>Perez</t>
  </si>
  <si>
    <t>Saul Miguel</t>
  </si>
  <si>
    <t>28/07/2023</t>
  </si>
  <si>
    <t>INSTITUTO DE SERVICIOS MÉDICOS MEXICANOS</t>
  </si>
  <si>
    <t>Fecha de registro</t>
  </si>
  <si>
    <t>Nombre</t>
  </si>
  <si>
    <t>Correo Electrónico</t>
  </si>
  <si>
    <t>Lizarraga</t>
  </si>
  <si>
    <t>Oropeza</t>
  </si>
  <si>
    <t>Javier Manuel</t>
  </si>
  <si>
    <t>main@gmail.com</t>
  </si>
  <si>
    <t>30/07/2023</t>
  </si>
  <si>
    <t>ejemplo@gmail.com</t>
  </si>
  <si>
    <t>Martinez</t>
  </si>
  <si>
    <t>Gonzalez</t>
  </si>
  <si>
    <t>Naomi</t>
  </si>
  <si>
    <t>spdman@gmail.com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</si>
</sst>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5B5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0" xfId="0" applyFill="1"/>
    <xf numFmtId="0" fontId="1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14" fontId="0" fillId="3" borderId="1" xfId="0" applyNumberFormat="1" applyFill="1" applyBorder="1" applyAlignment="1">
      <alignment horizontal="center" vertical="center"/>
    </xf>
    <xf numFmtId="0" fontId="0" fillId="5" borderId="0" xfId="0" applyFill="1"/>
    <xf numFmtId="0" fontId="0" fillId="5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5" borderId="0" xfId="1" applyFill="1" applyBorder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13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5050"/>
        </patternFill>
      </fill>
    </dxf>
  </dxfs>
  <tableStyles count="1" defaultTableStyle="TableStyleMedium2" defaultPivotStyle="PivotStyleLight16">
    <tableStyle name="Estilo de tabla 1" pivot="0" count="1" xr9:uid="{720B4D3E-DA17-4708-B503-F32654D90AF1}">
      <tableStyleElement type="headerRow" dxfId="12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1</xdr:row>
          <xdr:rowOff>19050</xdr:rowOff>
        </xdr:from>
        <xdr:to>
          <xdr:col>10</xdr:col>
          <xdr:colOff>38100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Capturar nuevos</a:t>
              </a:r>
            </a:p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581025</xdr:colOff>
      <xdr:row>1</xdr:row>
      <xdr:rowOff>95249</xdr:rowOff>
    </xdr:from>
    <xdr:to>
      <xdr:col>1</xdr:col>
      <xdr:colOff>1352551</xdr:colOff>
      <xdr:row>5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025" y="1619249"/>
          <a:ext cx="771526" cy="7715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3</xdr:row>
          <xdr:rowOff>28575</xdr:rowOff>
        </xdr:from>
        <xdr:to>
          <xdr:col>7</xdr:col>
          <xdr:colOff>561975</xdr:colOff>
          <xdr:row>5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5D5A1A-946C-41C0-B51C-45C9AA30221D}" name="Registro" displayName="Registro" ref="B4:H8" totalsRowShown="0" headerRowDxfId="11" dataDxfId="9" headerRowBorderDxfId="10" tableBorderDxfId="8" totalsRowBorderDxfId="7">
  <sortState xmlns:xlrd2="http://schemas.microsoft.com/office/spreadsheetml/2017/richdata2" ref="B5:H8">
    <sortCondition descending="1" ref="B6:B8"/>
  </sortState>
  <tableColumns count="7">
    <tableColumn id="1" xr3:uid="{CDA3A5C6-0112-4318-B672-D52C8237C4EC}" name="N° de Paciente" dataDxfId="6"/>
    <tableColumn id="2" xr3:uid="{C86494D6-9BF6-4935-89AC-7F43038DE26A}" name="Apellido Paterno" dataDxfId="5"/>
    <tableColumn id="3" xr3:uid="{F4A0C25B-2FC5-4F11-87B7-C8F2B0C88498}" name="Apellido Materno" dataDxfId="4"/>
    <tableColumn id="4" xr3:uid="{74F84502-7D33-456D-97FE-EC9553904ECE}" name="Nombres" dataDxfId="3"/>
    <tableColumn id="5" xr3:uid="{1523FD0A-9203-421E-9374-9573A0913908}" name="Correo electrónico" dataDxfId="2" dataCellStyle="Hipervínculo"/>
    <tableColumn id="6" xr3:uid="{2FAA3CD0-D83C-4969-9F9D-21C307E491FF}" name="Teléfono" dataDxfId="1"/>
    <tableColumn id="7" xr3:uid="{A4BA6ACA-7F8F-41C7-B849-83116EC721EC}" name="Fehca de registro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jemplo@gmail.com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149C7-8CD9-4345-A339-0A1A69637E05}">
  <sheetPr codeName="Hoja1"/>
  <dimension ref="A4:L8"/>
  <sheetViews>
    <sheetView showRowColHeaders="0" workbookViewId="0">
      <selection activeCell="F23" sqref="F23"/>
    </sheetView>
  </sheetViews>
  <sheetFormatPr baseColWidth="10" defaultRowHeight="15" x14ac:dyDescent="0.25"/>
  <cols>
    <col min="1" max="1" width="11.42578125" style="17" customWidth="1"/>
    <col min="2" max="2" width="16.42578125" style="17" customWidth="1"/>
    <col min="3" max="4" width="18.5703125" style="17" customWidth="1"/>
    <col min="5" max="5" width="20" style="18" customWidth="1"/>
    <col min="6" max="6" width="28.5703125" style="19" customWidth="1"/>
    <col min="7" max="7" width="18.5703125" style="17" customWidth="1"/>
    <col min="8" max="8" width="18.5703125" style="11" customWidth="1"/>
    <col min="9" max="12" width="11.42578125" style="11"/>
  </cols>
  <sheetData>
    <row r="4" spans="2:8" x14ac:dyDescent="0.25">
      <c r="B4" s="1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3" t="s">
        <v>6</v>
      </c>
    </row>
    <row r="5" spans="2:8" x14ac:dyDescent="0.25">
      <c r="B5" s="12">
        <v>4</v>
      </c>
      <c r="C5" s="13" t="s">
        <v>26</v>
      </c>
      <c r="D5" s="13" t="s">
        <v>27</v>
      </c>
      <c r="E5" s="13" t="s">
        <v>28</v>
      </c>
      <c r="F5" s="14" t="s">
        <v>29</v>
      </c>
      <c r="G5" s="15">
        <v>6691502020</v>
      </c>
      <c r="H5" s="16" t="s">
        <v>24</v>
      </c>
    </row>
    <row r="6" spans="2:8" x14ac:dyDescent="0.25">
      <c r="B6" s="12">
        <v>3</v>
      </c>
      <c r="C6" s="13" t="s">
        <v>20</v>
      </c>
      <c r="D6" s="13" t="s">
        <v>21</v>
      </c>
      <c r="E6" s="13" t="s">
        <v>22</v>
      </c>
      <c r="F6" s="14" t="s">
        <v>23</v>
      </c>
      <c r="G6" s="15">
        <v>8866442200</v>
      </c>
      <c r="H6" s="16" t="s">
        <v>24</v>
      </c>
    </row>
    <row r="7" spans="2:8" x14ac:dyDescent="0.25">
      <c r="B7" s="12">
        <v>2</v>
      </c>
      <c r="C7" s="13" t="s">
        <v>12</v>
      </c>
      <c r="D7" s="13" t="s">
        <v>13</v>
      </c>
      <c r="E7" s="13" t="s">
        <v>14</v>
      </c>
      <c r="F7" s="14" t="s">
        <v>25</v>
      </c>
      <c r="G7" s="15">
        <v>1234567890</v>
      </c>
      <c r="H7" s="16" t="s">
        <v>15</v>
      </c>
    </row>
    <row r="8" spans="2:8" x14ac:dyDescent="0.25">
      <c r="B8" s="13">
        <v>1</v>
      </c>
      <c r="C8" s="13" t="s">
        <v>7</v>
      </c>
      <c r="D8" s="13" t="s">
        <v>8</v>
      </c>
      <c r="E8" s="13" t="s">
        <v>9</v>
      </c>
      <c r="F8" s="14" t="s">
        <v>10</v>
      </c>
      <c r="G8" s="15">
        <v>3323990642</v>
      </c>
      <c r="H8" s="13" t="s">
        <v>11</v>
      </c>
    </row>
  </sheetData>
  <hyperlinks>
    <hyperlink ref="F7" r:id="rId1" xr:uid="{9EAD6DF7-1AA2-4791-9953-ED1B4C140C25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ón1_Haga_clic_en">
                <anchor moveWithCells="1" sizeWithCells="1">
                  <from>
                    <xdr:col>8</xdr:col>
                    <xdr:colOff>323850</xdr:colOff>
                    <xdr:row>1</xdr:row>
                    <xdr:rowOff>19050</xdr:rowOff>
                  </from>
                  <to>
                    <xdr:col>10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4550D-9366-4DBF-A3D0-D1696D7DA80D}">
  <sheetPr codeName="Hoja2"/>
  <dimension ref="A1:L25"/>
  <sheetViews>
    <sheetView tabSelected="1" workbookViewId="0">
      <selection activeCell="C8" sqref="C8"/>
    </sheetView>
  </sheetViews>
  <sheetFormatPr baseColWidth="10" defaultRowHeight="15" x14ac:dyDescent="0.25"/>
  <cols>
    <col min="2" max="2" width="28.5703125" customWidth="1"/>
    <col min="3" max="3" width="35.7109375" customWidth="1"/>
    <col min="4" max="6" width="28.5703125" customWidth="1"/>
  </cols>
  <sheetData>
    <row r="1" spans="1:12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x14ac:dyDescent="0.25">
      <c r="A2" s="11"/>
      <c r="B2" s="4"/>
      <c r="C2" s="4"/>
      <c r="D2" s="4"/>
      <c r="E2" s="4"/>
      <c r="F2" s="4"/>
      <c r="G2" s="11"/>
      <c r="H2" s="11"/>
      <c r="I2" s="11"/>
      <c r="J2" s="11"/>
      <c r="K2" s="11"/>
      <c r="L2" s="11"/>
    </row>
    <row r="3" spans="1:12" ht="15" customHeight="1" x14ac:dyDescent="0.25">
      <c r="A3" s="11"/>
      <c r="B3" s="4"/>
      <c r="C3" s="20" t="s">
        <v>16</v>
      </c>
      <c r="D3" s="20"/>
      <c r="E3" s="20"/>
      <c r="F3" s="20"/>
      <c r="G3" s="11"/>
      <c r="H3" s="11"/>
      <c r="I3" s="11"/>
      <c r="J3" s="11"/>
      <c r="K3" s="11"/>
      <c r="L3" s="11"/>
    </row>
    <row r="4" spans="1:12" ht="15" customHeight="1" x14ac:dyDescent="0.25">
      <c r="A4" s="11"/>
      <c r="B4" s="4"/>
      <c r="C4" s="20"/>
      <c r="D4" s="20"/>
      <c r="E4" s="20"/>
      <c r="F4" s="20"/>
      <c r="G4" s="11"/>
      <c r="H4" s="11"/>
      <c r="I4" s="11"/>
      <c r="J4" s="11"/>
      <c r="K4" s="11"/>
      <c r="L4" s="11"/>
    </row>
    <row r="5" spans="1:12" ht="15" customHeight="1" x14ac:dyDescent="0.25">
      <c r="A5" s="11"/>
      <c r="B5" s="4"/>
      <c r="C5" s="20"/>
      <c r="D5" s="20"/>
      <c r="E5" s="20"/>
      <c r="F5" s="20"/>
      <c r="G5" s="11"/>
      <c r="H5" s="11"/>
      <c r="I5" s="11"/>
      <c r="J5" s="11"/>
      <c r="K5" s="11"/>
      <c r="L5" s="11"/>
    </row>
    <row r="6" spans="1:12" x14ac:dyDescent="0.25">
      <c r="A6" s="11"/>
      <c r="B6" s="4"/>
      <c r="C6" s="4"/>
      <c r="D6" s="4"/>
      <c r="E6" s="4"/>
      <c r="F6" s="4"/>
      <c r="G6" s="11"/>
      <c r="H6" s="11"/>
      <c r="I6" s="11"/>
      <c r="J6" s="11"/>
      <c r="K6" s="11"/>
      <c r="L6" s="11"/>
    </row>
    <row r="7" spans="1:12" ht="30" customHeight="1" x14ac:dyDescent="0.25">
      <c r="A7" s="11"/>
      <c r="B7" s="5" t="s">
        <v>0</v>
      </c>
      <c r="C7" s="6"/>
      <c r="D7" s="7"/>
      <c r="E7" s="8" t="s">
        <v>17</v>
      </c>
      <c r="F7" s="10" t="str">
        <f>IFERROR(VLOOKUP(C7,Registro[],7,0)," ")</f>
        <v xml:space="preserve"> </v>
      </c>
      <c r="G7" s="11"/>
      <c r="H7" s="11"/>
      <c r="I7" s="11"/>
      <c r="J7" s="11"/>
      <c r="K7" s="11"/>
      <c r="L7" s="11"/>
    </row>
    <row r="8" spans="1:12" ht="30" customHeight="1" x14ac:dyDescent="0.25">
      <c r="A8" s="11"/>
      <c r="B8" s="9"/>
      <c r="C8" s="7"/>
      <c r="D8" s="7"/>
      <c r="E8" s="7"/>
      <c r="F8" s="7"/>
      <c r="G8" s="11"/>
      <c r="H8" s="11"/>
      <c r="I8" s="11"/>
      <c r="J8" s="11"/>
      <c r="K8" s="11"/>
      <c r="L8" s="11"/>
    </row>
    <row r="9" spans="1:12" ht="30" customHeight="1" x14ac:dyDescent="0.25">
      <c r="A9" s="11"/>
      <c r="B9" s="8" t="s">
        <v>18</v>
      </c>
      <c r="C9" s="6" t="str">
        <f>IFERROR(CONCATENATE(VLOOKUP(C7,Registro[],4,0)," ",VLOOKUP(C7,Registro[],2,0)," ",VLOOKUP(C7,Registro[],3,0)),"")</f>
        <v/>
      </c>
      <c r="D9" s="7"/>
      <c r="E9" s="7"/>
      <c r="F9" s="7"/>
      <c r="G9" s="11"/>
      <c r="H9" s="11"/>
      <c r="I9" s="11"/>
      <c r="J9" s="11"/>
      <c r="K9" s="11"/>
      <c r="L9" s="11"/>
    </row>
    <row r="10" spans="1:12" ht="30" customHeight="1" x14ac:dyDescent="0.25">
      <c r="A10" s="11"/>
      <c r="B10" s="8" t="s">
        <v>19</v>
      </c>
      <c r="C10" s="6" t="str">
        <f>IFERROR(VLOOKUP(C7,Registro[],5,0),"")</f>
        <v/>
      </c>
      <c r="D10" s="7"/>
      <c r="E10" s="7"/>
      <c r="F10" s="7"/>
      <c r="G10" s="11"/>
      <c r="H10" s="11"/>
      <c r="I10" s="11"/>
      <c r="J10" s="11"/>
      <c r="K10" s="11"/>
      <c r="L10" s="11"/>
    </row>
    <row r="11" spans="1:12" ht="30" customHeight="1" x14ac:dyDescent="0.25">
      <c r="A11" s="11"/>
      <c r="B11" s="8" t="s">
        <v>5</v>
      </c>
      <c r="C11" s="6" t="str">
        <f>IFERROR(VLOOKUP(C7,Registro[],6,0)," ")</f>
        <v xml:space="preserve"> </v>
      </c>
      <c r="D11" s="7"/>
      <c r="E11" s="7"/>
      <c r="F11" s="7"/>
      <c r="G11" s="11"/>
      <c r="H11" s="11"/>
      <c r="I11" s="11"/>
      <c r="J11" s="11"/>
      <c r="K11" s="11"/>
      <c r="L11" s="11"/>
    </row>
    <row r="12" spans="1:12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1:12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2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2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</row>
    <row r="20" spans="1:12" x14ac:dyDescent="0.25">
      <c r="A20" s="11"/>
      <c r="B20" s="11"/>
      <c r="C20" s="11"/>
      <c r="D20" s="11"/>
      <c r="E20" s="11"/>
      <c r="F20" s="11"/>
      <c r="G20" s="11"/>
      <c r="H20" s="11"/>
      <c r="I20" s="11"/>
    </row>
    <row r="21" spans="1:12" x14ac:dyDescent="0.25">
      <c r="A21" s="11"/>
      <c r="B21" s="11"/>
      <c r="C21" s="11"/>
      <c r="D21" s="11"/>
      <c r="E21" s="11"/>
      <c r="F21" s="11"/>
      <c r="G21" s="11"/>
      <c r="H21" s="11"/>
      <c r="I21" s="11"/>
    </row>
    <row r="22" spans="1:12" x14ac:dyDescent="0.25">
      <c r="A22" s="11"/>
      <c r="B22" s="11"/>
      <c r="C22" s="11"/>
      <c r="D22" s="11"/>
      <c r="E22" s="11"/>
      <c r="F22" s="11"/>
      <c r="G22" s="11"/>
      <c r="H22" s="11"/>
      <c r="I22" s="11"/>
    </row>
    <row r="23" spans="1:12" x14ac:dyDescent="0.25">
      <c r="A23" s="11"/>
      <c r="B23" s="11"/>
      <c r="C23" s="11"/>
      <c r="D23" s="11"/>
      <c r="E23" s="11"/>
      <c r="F23" s="11"/>
      <c r="G23" s="11"/>
      <c r="H23" s="11"/>
      <c r="I23" s="11"/>
    </row>
    <row r="24" spans="1:12" x14ac:dyDescent="0.25">
      <c r="A24" s="11"/>
      <c r="B24" s="11"/>
      <c r="C24" s="11"/>
      <c r="D24" s="11"/>
      <c r="E24" s="11"/>
      <c r="F24" s="11"/>
      <c r="G24" s="11"/>
      <c r="H24" s="11"/>
      <c r="I24" s="11"/>
    </row>
    <row r="25" spans="1:12" x14ac:dyDescent="0.25">
      <c r="A25" s="11"/>
      <c r="B25" s="11"/>
      <c r="C25" s="11"/>
      <c r="D25" s="11"/>
      <c r="E25" s="11"/>
      <c r="F25" s="11"/>
      <c r="G25" s="11"/>
      <c r="H25" s="11"/>
      <c r="I25" s="11"/>
    </row>
  </sheetData>
  <mergeCells count="1">
    <mergeCell ref="C3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mpiar">
                <anchor moveWithCells="1" sizeWithCells="1">
                  <from>
                    <xdr:col>6</xdr:col>
                    <xdr:colOff>190500</xdr:colOff>
                    <xdr:row>3</xdr:row>
                    <xdr:rowOff>28575</xdr:rowOff>
                  </from>
                  <to>
                    <xdr:col>7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Registro de Pacientes</vt:lpstr>
      <vt:lpstr>Consulta de Pacientes</vt:lpstr>
      <vt:lpstr>RegistroP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Gael Navarro</cp:lastModifiedBy>
  <dcterms:created xsi:type="dcterms:W3CDTF">2023-07-20T06:14:07Z</dcterms:created>
  <dcterms:modified xsi:type="dcterms:W3CDTF">2023-07-23T22:19:51Z</dcterms:modified>
</cp:coreProperties>
</file>